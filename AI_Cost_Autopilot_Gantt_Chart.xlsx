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W&quot;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</font>
    <font>
      <name val="Arial"/>
      <color rgb="00111111"/>
    </font>
    <font>
      <name val="Arial"/>
      <color rgb="000000FF"/>
    </font>
    <font>
      <name val="Arial"/>
      <b val="1"/>
      <color rgb="001F2328"/>
    </font>
    <font>
      <name val="Arial"/>
      <i val="1"/>
      <color rgb="00777777"/>
    </font>
    <font>
      <name val="Arial"/>
      <b val="1"/>
      <color rgb="000000FF"/>
    </font>
  </fonts>
  <fills count="5">
    <fill>
      <patternFill/>
    </fill>
    <fill>
      <patternFill patternType="gray125"/>
    </fill>
    <fill>
      <patternFill patternType="solid">
        <fgColor rgb="00F3EFE7"/>
      </patternFill>
    </fill>
    <fill>
      <patternFill patternType="solid">
        <fgColor rgb="00E8A33D"/>
      </patternFill>
    </fill>
    <fill>
      <patternFill patternType="solid">
        <fgColor rgb="00E4E0D8"/>
      </patternFill>
    </fill>
  </fills>
  <borders count="4">
    <border>
      <left/>
      <right/>
      <top/>
      <bottom/>
      <diagonal/>
    </border>
    <border>
      <bottom style="medium">
        <color rgb="001F2328"/>
      </bottom>
    </border>
    <border>
      <left style="thin">
        <color rgb="00D9D3C7"/>
      </left>
      <right style="thin">
        <color rgb="00D9D3C7"/>
      </right>
      <bottom style="thin">
        <color rgb="00D9D3C7"/>
      </bottom>
    </border>
    <border>
      <bottom style="thin">
        <color rgb="00D9D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5" fillId="0" borderId="3" pivotButton="0" quotePrefix="0" xfId="0"/>
    <xf numFmtId="0" fontId="6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3" fillId="0" borderId="3" pivotButton="0" quotePrefix="0" xfId="0"/>
    <xf numFmtId="0" fontId="7" fillId="0" borderId="2" applyAlignment="1" pivotButton="0" quotePrefix="0" xfId="0">
      <alignment horizontal="center"/>
    </xf>
    <xf numFmtId="0" fontId="8" fillId="0" borderId="3" pivotButton="0" quotePrefix="0" xfId="0"/>
    <xf numFmtId="0" fontId="3" fillId="0" borderId="0" pivotButton="0" quotePrefix="0" xfId="0"/>
    <xf numFmtId="0" fontId="7" fillId="3" borderId="0" applyAlignment="1" pivotButton="0" quotePrefix="0" xfId="0">
      <alignment horizontal="center"/>
    </xf>
    <xf numFmtId="0" fontId="4" fillId="0" borderId="0" pivotButton="0" quotePrefix="0" xfId="0"/>
    <xf numFmtId="0" fontId="7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E8A33D"/>
          <bgColor rgb="00E8A33D"/>
        </patternFill>
      </fill>
    </dxf>
    <dxf>
      <fill>
        <patternFill patternType="solid">
          <fgColor rgb="00E4E0D8"/>
          <bgColor rgb="00E4E0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 Cost Autopilot</author>
  </authors>
  <commentList>
    <comment ref="C4" authorId="0" shapeId="0">
      <text>
        <t>Week numbers of the semester, from docs/roadmap.md.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11" customWidth="1" min="4" max="4"/>
    <col width="11" customWidth="1" min="5" max="5"/>
    <col width="9" customWidth="1" min="6" max="6"/>
    <col width="24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>
      <c r="A1" s="1" t="inlineStr">
        <is>
          <t>AI Cost Autopilot: Gantt Chart (Semester Plan)</t>
        </is>
      </c>
    </row>
    <row r="2">
      <c r="A2" s="2" t="inlineStr">
        <is>
          <t>Source: docs/roadmap.md, weeks 4 to 17. Edit the blue Start / End week cells and the bars move with them.</t>
        </is>
      </c>
    </row>
    <row r="4" ht="32" customHeight="1">
      <c r="A4" s="3" t="inlineStr">
        <is>
          <t>#</t>
        </is>
      </c>
      <c r="B4" s="3" t="inlineStr">
        <is>
          <t>Task</t>
        </is>
      </c>
      <c r="C4" s="3" t="inlineStr">
        <is>
          <t>Start week</t>
        </is>
      </c>
      <c r="D4" s="3" t="inlineStr">
        <is>
          <t>End week</t>
        </is>
      </c>
      <c r="E4" s="3" t="inlineStr">
        <is>
          <t>Duration (weeks)</t>
        </is>
      </c>
      <c r="F4" s="3" t="inlineStr">
        <is>
          <t>Type</t>
        </is>
      </c>
      <c r="G4" s="3" t="inlineStr">
        <is>
          <t>Milestone</t>
        </is>
      </c>
      <c r="H4" s="4" t="n">
        <v>4</v>
      </c>
      <c r="I4" s="4" t="n">
        <v>5</v>
      </c>
      <c r="J4" s="4" t="n">
        <v>6</v>
      </c>
      <c r="K4" s="4" t="n">
        <v>7</v>
      </c>
      <c r="L4" s="4" t="n">
        <v>8</v>
      </c>
      <c r="M4" s="4" t="n">
        <v>9</v>
      </c>
      <c r="N4" s="4" t="n">
        <v>10</v>
      </c>
      <c r="O4" s="4" t="n">
        <v>11</v>
      </c>
      <c r="P4" s="4" t="n">
        <v>12</v>
      </c>
      <c r="Q4" s="4" t="n">
        <v>13</v>
      </c>
      <c r="R4" s="4" t="n">
        <v>14</v>
      </c>
      <c r="S4" s="4" t="n">
        <v>15</v>
      </c>
      <c r="T4" s="4" t="n">
        <v>16</v>
      </c>
      <c r="U4" s="4" t="n">
        <v>17</v>
      </c>
    </row>
    <row r="5">
      <c r="A5" s="5" t="n">
        <v>1</v>
      </c>
      <c r="B5" s="6" t="inlineStr">
        <is>
          <t>Project proposal</t>
        </is>
      </c>
      <c r="C5" s="7" t="n">
        <v>4</v>
      </c>
      <c r="D5" s="7" t="n">
        <v>4</v>
      </c>
      <c r="E5" s="8">
        <f>D5-C5+1</f>
        <v/>
      </c>
      <c r="F5" s="7" t="inlineStr">
        <is>
          <t>Work</t>
        </is>
      </c>
      <c r="G5" s="9" t="inlineStr">
        <is>
          <t>Proposal report</t>
        </is>
      </c>
      <c r="H5" s="10">
        <f>IF(AND(H$4=$D5,$G5&lt;&gt;""),"◆","")</f>
        <v/>
      </c>
      <c r="I5" s="10">
        <f>IF(AND(I$4=$D5,$G5&lt;&gt;""),"◆","")</f>
        <v/>
      </c>
      <c r="J5" s="10">
        <f>IF(AND(J$4=$D5,$G5&lt;&gt;""),"◆","")</f>
        <v/>
      </c>
      <c r="K5" s="10">
        <f>IF(AND(K$4=$D5,$G5&lt;&gt;""),"◆","")</f>
        <v/>
      </c>
      <c r="L5" s="10">
        <f>IF(AND(L$4=$D5,$G5&lt;&gt;""),"◆","")</f>
        <v/>
      </c>
      <c r="M5" s="10">
        <f>IF(AND(M$4=$D5,$G5&lt;&gt;""),"◆","")</f>
        <v/>
      </c>
      <c r="N5" s="10">
        <f>IF(AND(N$4=$D5,$G5&lt;&gt;""),"◆","")</f>
        <v/>
      </c>
      <c r="O5" s="10">
        <f>IF(AND(O$4=$D5,$G5&lt;&gt;""),"◆","")</f>
        <v/>
      </c>
      <c r="P5" s="10">
        <f>IF(AND(P$4=$D5,$G5&lt;&gt;""),"◆","")</f>
        <v/>
      </c>
      <c r="Q5" s="10">
        <f>IF(AND(Q$4=$D5,$G5&lt;&gt;""),"◆","")</f>
        <v/>
      </c>
      <c r="R5" s="10">
        <f>IF(AND(R$4=$D5,$G5&lt;&gt;""),"◆","")</f>
        <v/>
      </c>
      <c r="S5" s="10">
        <f>IF(AND(S$4=$D5,$G5&lt;&gt;""),"◆","")</f>
        <v/>
      </c>
      <c r="T5" s="10">
        <f>IF(AND(T$4=$D5,$G5&lt;&gt;""),"◆","")</f>
        <v/>
      </c>
      <c r="U5" s="10">
        <f>IF(AND(U$4=$D5,$G5&lt;&gt;""),"◆","")</f>
        <v/>
      </c>
    </row>
    <row r="6">
      <c r="A6" s="5" t="n">
        <v>2</v>
      </c>
      <c r="B6" s="6" t="inlineStr">
        <is>
          <t>Gateway pass-through, freeze interfaces</t>
        </is>
      </c>
      <c r="C6" s="7" t="n">
        <v>5</v>
      </c>
      <c r="D6" s="7" t="n">
        <v>6</v>
      </c>
      <c r="E6" s="8">
        <f>D6-C6+1</f>
        <v/>
      </c>
      <c r="F6" s="7" t="inlineStr">
        <is>
          <t>Work</t>
        </is>
      </c>
      <c r="G6" s="5" t="inlineStr"/>
      <c r="H6" s="10">
        <f>IF(AND(H$4=$D6,$G6&lt;&gt;""),"◆","")</f>
        <v/>
      </c>
      <c r="I6" s="10">
        <f>IF(AND(I$4=$D6,$G6&lt;&gt;""),"◆","")</f>
        <v/>
      </c>
      <c r="J6" s="10">
        <f>IF(AND(J$4=$D6,$G6&lt;&gt;""),"◆","")</f>
        <v/>
      </c>
      <c r="K6" s="10">
        <f>IF(AND(K$4=$D6,$G6&lt;&gt;""),"◆","")</f>
        <v/>
      </c>
      <c r="L6" s="10">
        <f>IF(AND(L$4=$D6,$G6&lt;&gt;""),"◆","")</f>
        <v/>
      </c>
      <c r="M6" s="10">
        <f>IF(AND(M$4=$D6,$G6&lt;&gt;""),"◆","")</f>
        <v/>
      </c>
      <c r="N6" s="10">
        <f>IF(AND(N$4=$D6,$G6&lt;&gt;""),"◆","")</f>
        <v/>
      </c>
      <c r="O6" s="10">
        <f>IF(AND(O$4=$D6,$G6&lt;&gt;""),"◆","")</f>
        <v/>
      </c>
      <c r="P6" s="10">
        <f>IF(AND(P$4=$D6,$G6&lt;&gt;""),"◆","")</f>
        <v/>
      </c>
      <c r="Q6" s="10">
        <f>IF(AND(Q$4=$D6,$G6&lt;&gt;""),"◆","")</f>
        <v/>
      </c>
      <c r="R6" s="10">
        <f>IF(AND(R$4=$D6,$G6&lt;&gt;""),"◆","")</f>
        <v/>
      </c>
      <c r="S6" s="10">
        <f>IF(AND(S$4=$D6,$G6&lt;&gt;""),"◆","")</f>
        <v/>
      </c>
      <c r="T6" s="10">
        <f>IF(AND(T$4=$D6,$G6&lt;&gt;""),"◆","")</f>
        <v/>
      </c>
      <c r="U6" s="10">
        <f>IF(AND(U$4=$D6,$G6&lt;&gt;""),"◆","")</f>
        <v/>
      </c>
    </row>
    <row r="7">
      <c r="A7" s="5" t="n">
        <v>3</v>
      </c>
      <c r="B7" s="6" t="inlineStr">
        <is>
          <t>v1 of trimmer, cache and autopilot</t>
        </is>
      </c>
      <c r="C7" s="7" t="n">
        <v>5</v>
      </c>
      <c r="D7" s="7" t="n">
        <v>6</v>
      </c>
      <c r="E7" s="8">
        <f>D7-C7+1</f>
        <v/>
      </c>
      <c r="F7" s="7" t="inlineStr">
        <is>
          <t>Work</t>
        </is>
      </c>
      <c r="G7" s="5" t="inlineStr"/>
      <c r="H7" s="10">
        <f>IF(AND(H$4=$D7,$G7&lt;&gt;""),"◆","")</f>
        <v/>
      </c>
      <c r="I7" s="10">
        <f>IF(AND(I$4=$D7,$G7&lt;&gt;""),"◆","")</f>
        <v/>
      </c>
      <c r="J7" s="10">
        <f>IF(AND(J$4=$D7,$G7&lt;&gt;""),"◆","")</f>
        <v/>
      </c>
      <c r="K7" s="10">
        <f>IF(AND(K$4=$D7,$G7&lt;&gt;""),"◆","")</f>
        <v/>
      </c>
      <c r="L7" s="10">
        <f>IF(AND(L$4=$D7,$G7&lt;&gt;""),"◆","")</f>
        <v/>
      </c>
      <c r="M7" s="10">
        <f>IF(AND(M$4=$D7,$G7&lt;&gt;""),"◆","")</f>
        <v/>
      </c>
      <c r="N7" s="10">
        <f>IF(AND(N$4=$D7,$G7&lt;&gt;""),"◆","")</f>
        <v/>
      </c>
      <c r="O7" s="10">
        <f>IF(AND(O$4=$D7,$G7&lt;&gt;""),"◆","")</f>
        <v/>
      </c>
      <c r="P7" s="10">
        <f>IF(AND(P$4=$D7,$G7&lt;&gt;""),"◆","")</f>
        <v/>
      </c>
      <c r="Q7" s="10">
        <f>IF(AND(Q$4=$D7,$G7&lt;&gt;""),"◆","")</f>
        <v/>
      </c>
      <c r="R7" s="10">
        <f>IF(AND(R$4=$D7,$G7&lt;&gt;""),"◆","")</f>
        <v/>
      </c>
      <c r="S7" s="10">
        <f>IF(AND(S$4=$D7,$G7&lt;&gt;""),"◆","")</f>
        <v/>
      </c>
      <c r="T7" s="10">
        <f>IF(AND(T$4=$D7,$G7&lt;&gt;""),"◆","")</f>
        <v/>
      </c>
      <c r="U7" s="10">
        <f>IF(AND(U$4=$D7,$G7&lt;&gt;""),"◆","")</f>
        <v/>
      </c>
    </row>
    <row r="8">
      <c r="A8" s="5" t="n">
        <v>4</v>
      </c>
      <c r="B8" s="6" t="inlineStr">
        <is>
          <t>Prototype: end-to-end build</t>
        </is>
      </c>
      <c r="C8" s="7" t="n">
        <v>7</v>
      </c>
      <c r="D8" s="7" t="n">
        <v>7</v>
      </c>
      <c r="E8" s="8">
        <f>D8-C8+1</f>
        <v/>
      </c>
      <c r="F8" s="7" t="inlineStr">
        <is>
          <t>Work</t>
        </is>
      </c>
      <c r="G8" s="9" t="inlineStr">
        <is>
          <t>Prototype demo (MST)</t>
        </is>
      </c>
      <c r="H8" s="10">
        <f>IF(AND(H$4=$D8,$G8&lt;&gt;""),"◆","")</f>
        <v/>
      </c>
      <c r="I8" s="10">
        <f>IF(AND(I$4=$D8,$G8&lt;&gt;""),"◆","")</f>
        <v/>
      </c>
      <c r="J8" s="10">
        <f>IF(AND(J$4=$D8,$G8&lt;&gt;""),"◆","")</f>
        <v/>
      </c>
      <c r="K8" s="10">
        <f>IF(AND(K$4=$D8,$G8&lt;&gt;""),"◆","")</f>
        <v/>
      </c>
      <c r="L8" s="10">
        <f>IF(AND(L$4=$D8,$G8&lt;&gt;""),"◆","")</f>
        <v/>
      </c>
      <c r="M8" s="10">
        <f>IF(AND(M$4=$D8,$G8&lt;&gt;""),"◆","")</f>
        <v/>
      </c>
      <c r="N8" s="10">
        <f>IF(AND(N$4=$D8,$G8&lt;&gt;""),"◆","")</f>
        <v/>
      </c>
      <c r="O8" s="10">
        <f>IF(AND(O$4=$D8,$G8&lt;&gt;""),"◆","")</f>
        <v/>
      </c>
      <c r="P8" s="10">
        <f>IF(AND(P$4=$D8,$G8&lt;&gt;""),"◆","")</f>
        <v/>
      </c>
      <c r="Q8" s="10">
        <f>IF(AND(Q$4=$D8,$G8&lt;&gt;""),"◆","")</f>
        <v/>
      </c>
      <c r="R8" s="10">
        <f>IF(AND(R$4=$D8,$G8&lt;&gt;""),"◆","")</f>
        <v/>
      </c>
      <c r="S8" s="10">
        <f>IF(AND(S$4=$D8,$G8&lt;&gt;""),"◆","")</f>
        <v/>
      </c>
      <c r="T8" s="10">
        <f>IF(AND(T$4=$D8,$G8&lt;&gt;""),"◆","")</f>
        <v/>
      </c>
      <c r="U8" s="10">
        <f>IF(AND(U$4=$D8,$G8&lt;&gt;""),"◆","")</f>
        <v/>
      </c>
    </row>
    <row r="9">
      <c r="A9" s="5" t="n">
        <v>5</v>
      </c>
      <c r="B9" s="6" t="inlineStr">
        <is>
          <t>Improvement plan from feedback</t>
        </is>
      </c>
      <c r="C9" s="7" t="n">
        <v>8</v>
      </c>
      <c r="D9" s="7" t="n">
        <v>8</v>
      </c>
      <c r="E9" s="8">
        <f>D9-C9+1</f>
        <v/>
      </c>
      <c r="F9" s="7" t="inlineStr">
        <is>
          <t>Work</t>
        </is>
      </c>
      <c r="G9" s="5" t="inlineStr"/>
      <c r="H9" s="10">
        <f>IF(AND(H$4=$D9,$G9&lt;&gt;""),"◆","")</f>
        <v/>
      </c>
      <c r="I9" s="10">
        <f>IF(AND(I$4=$D9,$G9&lt;&gt;""),"◆","")</f>
        <v/>
      </c>
      <c r="J9" s="10">
        <f>IF(AND(J$4=$D9,$G9&lt;&gt;""),"◆","")</f>
        <v/>
      </c>
      <c r="K9" s="10">
        <f>IF(AND(K$4=$D9,$G9&lt;&gt;""),"◆","")</f>
        <v/>
      </c>
      <c r="L9" s="10">
        <f>IF(AND(L$4=$D9,$G9&lt;&gt;""),"◆","")</f>
        <v/>
      </c>
      <c r="M9" s="10">
        <f>IF(AND(M$4=$D9,$G9&lt;&gt;""),"◆","")</f>
        <v/>
      </c>
      <c r="N9" s="10">
        <f>IF(AND(N$4=$D9,$G9&lt;&gt;""),"◆","")</f>
        <v/>
      </c>
      <c r="O9" s="10">
        <f>IF(AND(O$4=$D9,$G9&lt;&gt;""),"◆","")</f>
        <v/>
      </c>
      <c r="P9" s="10">
        <f>IF(AND(P$4=$D9,$G9&lt;&gt;""),"◆","")</f>
        <v/>
      </c>
      <c r="Q9" s="10">
        <f>IF(AND(Q$4=$D9,$G9&lt;&gt;""),"◆","")</f>
        <v/>
      </c>
      <c r="R9" s="10">
        <f>IF(AND(R$4=$D9,$G9&lt;&gt;""),"◆","")</f>
        <v/>
      </c>
      <c r="S9" s="10">
        <f>IF(AND(S$4=$D9,$G9&lt;&gt;""),"◆","")</f>
        <v/>
      </c>
      <c r="T9" s="10">
        <f>IF(AND(T$4=$D9,$G9&lt;&gt;""),"◆","")</f>
        <v/>
      </c>
      <c r="U9" s="10">
        <f>IF(AND(U$4=$D9,$G9&lt;&gt;""),"◆","")</f>
        <v/>
      </c>
    </row>
    <row r="10">
      <c r="A10" s="5" t="n">
        <v>6</v>
      </c>
      <c r="B10" s="11" t="inlineStr">
        <is>
          <t>MST period</t>
        </is>
      </c>
      <c r="C10" s="7" t="n">
        <v>9</v>
      </c>
      <c r="D10" s="7" t="n">
        <v>10</v>
      </c>
      <c r="E10" s="8">
        <f>D10-C10+1</f>
        <v/>
      </c>
      <c r="F10" s="7" t="inlineStr">
        <is>
          <t>Break</t>
        </is>
      </c>
      <c r="G10" s="5" t="inlineStr"/>
      <c r="H10" s="10">
        <f>IF(AND(H$4=$D10,$G10&lt;&gt;""),"◆","")</f>
        <v/>
      </c>
      <c r="I10" s="10">
        <f>IF(AND(I$4=$D10,$G10&lt;&gt;""),"◆","")</f>
        <v/>
      </c>
      <c r="J10" s="10">
        <f>IF(AND(J$4=$D10,$G10&lt;&gt;""),"◆","")</f>
        <v/>
      </c>
      <c r="K10" s="10">
        <f>IF(AND(K$4=$D10,$G10&lt;&gt;""),"◆","")</f>
        <v/>
      </c>
      <c r="L10" s="10">
        <f>IF(AND(L$4=$D10,$G10&lt;&gt;""),"◆","")</f>
        <v/>
      </c>
      <c r="M10" s="10">
        <f>IF(AND(M$4=$D10,$G10&lt;&gt;""),"◆","")</f>
        <v/>
      </c>
      <c r="N10" s="10">
        <f>IF(AND(N$4=$D10,$G10&lt;&gt;""),"◆","")</f>
        <v/>
      </c>
      <c r="O10" s="10">
        <f>IF(AND(O$4=$D10,$G10&lt;&gt;""),"◆","")</f>
        <v/>
      </c>
      <c r="P10" s="10">
        <f>IF(AND(P$4=$D10,$G10&lt;&gt;""),"◆","")</f>
        <v/>
      </c>
      <c r="Q10" s="10">
        <f>IF(AND(Q$4=$D10,$G10&lt;&gt;""),"◆","")</f>
        <v/>
      </c>
      <c r="R10" s="10">
        <f>IF(AND(R$4=$D10,$G10&lt;&gt;""),"◆","")</f>
        <v/>
      </c>
      <c r="S10" s="10">
        <f>IF(AND(S$4=$D10,$G10&lt;&gt;""),"◆","")</f>
        <v/>
      </c>
      <c r="T10" s="10">
        <f>IF(AND(T$4=$D10,$G10&lt;&gt;""),"◆","")</f>
        <v/>
      </c>
      <c r="U10" s="10">
        <f>IF(AND(U$4=$D10,$G10&lt;&gt;""),"◆","")</f>
        <v/>
      </c>
    </row>
    <row r="11">
      <c r="A11" s="5" t="n">
        <v>7</v>
      </c>
      <c r="B11" s="6" t="inlineStr">
        <is>
          <t>Semantic cache, second language, tuning</t>
        </is>
      </c>
      <c r="C11" s="7" t="n">
        <v>11</v>
      </c>
      <c r="D11" s="7" t="n">
        <v>12</v>
      </c>
      <c r="E11" s="8">
        <f>D11-C11+1</f>
        <v/>
      </c>
      <c r="F11" s="7" t="inlineStr">
        <is>
          <t>Work</t>
        </is>
      </c>
      <c r="G11" s="5" t="inlineStr"/>
      <c r="H11" s="10">
        <f>IF(AND(H$4=$D11,$G11&lt;&gt;""),"◆","")</f>
        <v/>
      </c>
      <c r="I11" s="10">
        <f>IF(AND(I$4=$D11,$G11&lt;&gt;""),"◆","")</f>
        <v/>
      </c>
      <c r="J11" s="10">
        <f>IF(AND(J$4=$D11,$G11&lt;&gt;""),"◆","")</f>
        <v/>
      </c>
      <c r="K11" s="10">
        <f>IF(AND(K$4=$D11,$G11&lt;&gt;""),"◆","")</f>
        <v/>
      </c>
      <c r="L11" s="10">
        <f>IF(AND(L$4=$D11,$G11&lt;&gt;""),"◆","")</f>
        <v/>
      </c>
      <c r="M11" s="10">
        <f>IF(AND(M$4=$D11,$G11&lt;&gt;""),"◆","")</f>
        <v/>
      </c>
      <c r="N11" s="10">
        <f>IF(AND(N$4=$D11,$G11&lt;&gt;""),"◆","")</f>
        <v/>
      </c>
      <c r="O11" s="10">
        <f>IF(AND(O$4=$D11,$G11&lt;&gt;""),"◆","")</f>
        <v/>
      </c>
      <c r="P11" s="10">
        <f>IF(AND(P$4=$D11,$G11&lt;&gt;""),"◆","")</f>
        <v/>
      </c>
      <c r="Q11" s="10">
        <f>IF(AND(Q$4=$D11,$G11&lt;&gt;""),"◆","")</f>
        <v/>
      </c>
      <c r="R11" s="10">
        <f>IF(AND(R$4=$D11,$G11&lt;&gt;""),"◆","")</f>
        <v/>
      </c>
      <c r="S11" s="10">
        <f>IF(AND(S$4=$D11,$G11&lt;&gt;""),"◆","")</f>
        <v/>
      </c>
      <c r="T11" s="10">
        <f>IF(AND(T$4=$D11,$G11&lt;&gt;""),"◆","")</f>
        <v/>
      </c>
      <c r="U11" s="10">
        <f>IF(AND(U$4=$D11,$G11&lt;&gt;""),"◆","")</f>
        <v/>
      </c>
    </row>
    <row r="12">
      <c r="A12" s="5" t="n">
        <v>8</v>
      </c>
      <c r="B12" s="6" t="inlineStr">
        <is>
          <t>Integrate and measure savings</t>
        </is>
      </c>
      <c r="C12" s="7" t="n">
        <v>11</v>
      </c>
      <c r="D12" s="7" t="n">
        <v>12</v>
      </c>
      <c r="E12" s="8">
        <f>D12-C12+1</f>
        <v/>
      </c>
      <c r="F12" s="7" t="inlineStr">
        <is>
          <t>Work</t>
        </is>
      </c>
      <c r="G12" s="5" t="inlineStr"/>
      <c r="H12" s="10">
        <f>IF(AND(H$4=$D12,$G12&lt;&gt;""),"◆","")</f>
        <v/>
      </c>
      <c r="I12" s="10">
        <f>IF(AND(I$4=$D12,$G12&lt;&gt;""),"◆","")</f>
        <v/>
      </c>
      <c r="J12" s="10">
        <f>IF(AND(J$4=$D12,$G12&lt;&gt;""),"◆","")</f>
        <v/>
      </c>
      <c r="K12" s="10">
        <f>IF(AND(K$4=$D12,$G12&lt;&gt;""),"◆","")</f>
        <v/>
      </c>
      <c r="L12" s="10">
        <f>IF(AND(L$4=$D12,$G12&lt;&gt;""),"◆","")</f>
        <v/>
      </c>
      <c r="M12" s="10">
        <f>IF(AND(M$4=$D12,$G12&lt;&gt;""),"◆","")</f>
        <v/>
      </c>
      <c r="N12" s="10">
        <f>IF(AND(N$4=$D12,$G12&lt;&gt;""),"◆","")</f>
        <v/>
      </c>
      <c r="O12" s="10">
        <f>IF(AND(O$4=$D12,$G12&lt;&gt;""),"◆","")</f>
        <v/>
      </c>
      <c r="P12" s="10">
        <f>IF(AND(P$4=$D12,$G12&lt;&gt;""),"◆","")</f>
        <v/>
      </c>
      <c r="Q12" s="10">
        <f>IF(AND(Q$4=$D12,$G12&lt;&gt;""),"◆","")</f>
        <v/>
      </c>
      <c r="R12" s="10">
        <f>IF(AND(R$4=$D12,$G12&lt;&gt;""),"◆","")</f>
        <v/>
      </c>
      <c r="S12" s="10">
        <f>IF(AND(S$4=$D12,$G12&lt;&gt;""),"◆","")</f>
        <v/>
      </c>
      <c r="T12" s="10">
        <f>IF(AND(T$4=$D12,$G12&lt;&gt;""),"◆","")</f>
        <v/>
      </c>
      <c r="U12" s="10">
        <f>IF(AND(U$4=$D12,$G12&lt;&gt;""),"◆","")</f>
        <v/>
      </c>
    </row>
    <row r="13">
      <c r="A13" s="5" t="n">
        <v>9</v>
      </c>
      <c r="B13" s="11" t="inlineStr">
        <is>
          <t>Buffer (holiday week)</t>
        </is>
      </c>
      <c r="C13" s="7" t="n">
        <v>13</v>
      </c>
      <c r="D13" s="7" t="n">
        <v>13</v>
      </c>
      <c r="E13" s="8">
        <f>D13-C13+1</f>
        <v/>
      </c>
      <c r="F13" s="7" t="inlineStr">
        <is>
          <t>Break</t>
        </is>
      </c>
      <c r="G13" s="5" t="inlineStr"/>
      <c r="H13" s="10">
        <f>IF(AND(H$4=$D13,$G13&lt;&gt;""),"◆","")</f>
        <v/>
      </c>
      <c r="I13" s="10">
        <f>IF(AND(I$4=$D13,$G13&lt;&gt;""),"◆","")</f>
        <v/>
      </c>
      <c r="J13" s="10">
        <f>IF(AND(J$4=$D13,$G13&lt;&gt;""),"◆","")</f>
        <v/>
      </c>
      <c r="K13" s="10">
        <f>IF(AND(K$4=$D13,$G13&lt;&gt;""),"◆","")</f>
        <v/>
      </c>
      <c r="L13" s="10">
        <f>IF(AND(L$4=$D13,$G13&lt;&gt;""),"◆","")</f>
        <v/>
      </c>
      <c r="M13" s="10">
        <f>IF(AND(M$4=$D13,$G13&lt;&gt;""),"◆","")</f>
        <v/>
      </c>
      <c r="N13" s="10">
        <f>IF(AND(N$4=$D13,$G13&lt;&gt;""),"◆","")</f>
        <v/>
      </c>
      <c r="O13" s="10">
        <f>IF(AND(O$4=$D13,$G13&lt;&gt;""),"◆","")</f>
        <v/>
      </c>
      <c r="P13" s="10">
        <f>IF(AND(P$4=$D13,$G13&lt;&gt;""),"◆","")</f>
        <v/>
      </c>
      <c r="Q13" s="10">
        <f>IF(AND(Q$4=$D13,$G13&lt;&gt;""),"◆","")</f>
        <v/>
      </c>
      <c r="R13" s="10">
        <f>IF(AND(R$4=$D13,$G13&lt;&gt;""),"◆","")</f>
        <v/>
      </c>
      <c r="S13" s="10">
        <f>IF(AND(S$4=$D13,$G13&lt;&gt;""),"◆","")</f>
        <v/>
      </c>
      <c r="T13" s="10">
        <f>IF(AND(T$4=$D13,$G13&lt;&gt;""),"◆","")</f>
        <v/>
      </c>
      <c r="U13" s="10">
        <f>IF(AND(U$4=$D13,$G13&lt;&gt;""),"◆","")</f>
        <v/>
      </c>
    </row>
    <row r="14">
      <c r="A14" s="5" t="n">
        <v>10</v>
      </c>
      <c r="B14" s="6" t="inlineStr">
        <is>
          <t>Full integration, benchmark across tools</t>
        </is>
      </c>
      <c r="C14" s="7" t="n">
        <v>14</v>
      </c>
      <c r="D14" s="7" t="n">
        <v>15</v>
      </c>
      <c r="E14" s="8">
        <f>D14-C14+1</f>
        <v/>
      </c>
      <c r="F14" s="7" t="inlineStr">
        <is>
          <t>Work</t>
        </is>
      </c>
      <c r="G14" s="9" t="inlineStr">
        <is>
          <t>Second prototype</t>
        </is>
      </c>
      <c r="H14" s="10">
        <f>IF(AND(H$4=$D14,$G14&lt;&gt;""),"◆","")</f>
        <v/>
      </c>
      <c r="I14" s="10">
        <f>IF(AND(I$4=$D14,$G14&lt;&gt;""),"◆","")</f>
        <v/>
      </c>
      <c r="J14" s="10">
        <f>IF(AND(J$4=$D14,$G14&lt;&gt;""),"◆","")</f>
        <v/>
      </c>
      <c r="K14" s="10">
        <f>IF(AND(K$4=$D14,$G14&lt;&gt;""),"◆","")</f>
        <v/>
      </c>
      <c r="L14" s="10">
        <f>IF(AND(L$4=$D14,$G14&lt;&gt;""),"◆","")</f>
        <v/>
      </c>
      <c r="M14" s="10">
        <f>IF(AND(M$4=$D14,$G14&lt;&gt;""),"◆","")</f>
        <v/>
      </c>
      <c r="N14" s="10">
        <f>IF(AND(N$4=$D14,$G14&lt;&gt;""),"◆","")</f>
        <v/>
      </c>
      <c r="O14" s="10">
        <f>IF(AND(O$4=$D14,$G14&lt;&gt;""),"◆","")</f>
        <v/>
      </c>
      <c r="P14" s="10">
        <f>IF(AND(P$4=$D14,$G14&lt;&gt;""),"◆","")</f>
        <v/>
      </c>
      <c r="Q14" s="10">
        <f>IF(AND(Q$4=$D14,$G14&lt;&gt;""),"◆","")</f>
        <v/>
      </c>
      <c r="R14" s="10">
        <f>IF(AND(R$4=$D14,$G14&lt;&gt;""),"◆","")</f>
        <v/>
      </c>
      <c r="S14" s="10">
        <f>IF(AND(S$4=$D14,$G14&lt;&gt;""),"◆","")</f>
        <v/>
      </c>
      <c r="T14" s="10">
        <f>IF(AND(T$4=$D14,$G14&lt;&gt;""),"◆","")</f>
        <v/>
      </c>
      <c r="U14" s="10">
        <f>IF(AND(U$4=$D14,$G14&lt;&gt;""),"◆","")</f>
        <v/>
      </c>
    </row>
    <row r="15">
      <c r="A15" s="5" t="n">
        <v>11</v>
      </c>
      <c r="B15" s="6" t="inlineStr">
        <is>
          <t>Improvements over second prototype</t>
        </is>
      </c>
      <c r="C15" s="7" t="n">
        <v>16</v>
      </c>
      <c r="D15" s="7" t="n">
        <v>16</v>
      </c>
      <c r="E15" s="8">
        <f>D15-C15+1</f>
        <v/>
      </c>
      <c r="F15" s="7" t="inlineStr">
        <is>
          <t>Work</t>
        </is>
      </c>
      <c r="G15" s="5" t="inlineStr"/>
      <c r="H15" s="10">
        <f>IF(AND(H$4=$D15,$G15&lt;&gt;""),"◆","")</f>
        <v/>
      </c>
      <c r="I15" s="10">
        <f>IF(AND(I$4=$D15,$G15&lt;&gt;""),"◆","")</f>
        <v/>
      </c>
      <c r="J15" s="10">
        <f>IF(AND(J$4=$D15,$G15&lt;&gt;""),"◆","")</f>
        <v/>
      </c>
      <c r="K15" s="10">
        <f>IF(AND(K$4=$D15,$G15&lt;&gt;""),"◆","")</f>
        <v/>
      </c>
      <c r="L15" s="10">
        <f>IF(AND(L$4=$D15,$G15&lt;&gt;""),"◆","")</f>
        <v/>
      </c>
      <c r="M15" s="10">
        <f>IF(AND(M$4=$D15,$G15&lt;&gt;""),"◆","")</f>
        <v/>
      </c>
      <c r="N15" s="10">
        <f>IF(AND(N$4=$D15,$G15&lt;&gt;""),"◆","")</f>
        <v/>
      </c>
      <c r="O15" s="10">
        <f>IF(AND(O$4=$D15,$G15&lt;&gt;""),"◆","")</f>
        <v/>
      </c>
      <c r="P15" s="10">
        <f>IF(AND(P$4=$D15,$G15&lt;&gt;""),"◆","")</f>
        <v/>
      </c>
      <c r="Q15" s="10">
        <f>IF(AND(Q$4=$D15,$G15&lt;&gt;""),"◆","")</f>
        <v/>
      </c>
      <c r="R15" s="10">
        <f>IF(AND(R$4=$D15,$G15&lt;&gt;""),"◆","")</f>
        <v/>
      </c>
      <c r="S15" s="10">
        <f>IF(AND(S$4=$D15,$G15&lt;&gt;""),"◆","")</f>
        <v/>
      </c>
      <c r="T15" s="10">
        <f>IF(AND(T$4=$D15,$G15&lt;&gt;""),"◆","")</f>
        <v/>
      </c>
      <c r="U15" s="10">
        <f>IF(AND(U$4=$D15,$G15&lt;&gt;""),"◆","")</f>
        <v/>
      </c>
    </row>
    <row r="16">
      <c r="A16" s="5" t="n">
        <v>12</v>
      </c>
      <c r="B16" s="6" t="inlineStr">
        <is>
          <t>Final prototype, presentation, report</t>
        </is>
      </c>
      <c r="C16" s="7" t="n">
        <v>17</v>
      </c>
      <c r="D16" s="7" t="n">
        <v>17</v>
      </c>
      <c r="E16" s="8">
        <f>D16-C16+1</f>
        <v/>
      </c>
      <c r="F16" s="7" t="inlineStr">
        <is>
          <t>Work</t>
        </is>
      </c>
      <c r="G16" s="9" t="inlineStr">
        <is>
          <t>Final deliverable (EST)</t>
        </is>
      </c>
      <c r="H16" s="10">
        <f>IF(AND(H$4=$D16,$G16&lt;&gt;""),"◆","")</f>
        <v/>
      </c>
      <c r="I16" s="10">
        <f>IF(AND(I$4=$D16,$G16&lt;&gt;""),"◆","")</f>
        <v/>
      </c>
      <c r="J16" s="10">
        <f>IF(AND(J$4=$D16,$G16&lt;&gt;""),"◆","")</f>
        <v/>
      </c>
      <c r="K16" s="10">
        <f>IF(AND(K$4=$D16,$G16&lt;&gt;""),"◆","")</f>
        <v/>
      </c>
      <c r="L16" s="10">
        <f>IF(AND(L$4=$D16,$G16&lt;&gt;""),"◆","")</f>
        <v/>
      </c>
      <c r="M16" s="10">
        <f>IF(AND(M$4=$D16,$G16&lt;&gt;""),"◆","")</f>
        <v/>
      </c>
      <c r="N16" s="10">
        <f>IF(AND(N$4=$D16,$G16&lt;&gt;""),"◆","")</f>
        <v/>
      </c>
      <c r="O16" s="10">
        <f>IF(AND(O$4=$D16,$G16&lt;&gt;""),"◆","")</f>
        <v/>
      </c>
      <c r="P16" s="10">
        <f>IF(AND(P$4=$D16,$G16&lt;&gt;""),"◆","")</f>
        <v/>
      </c>
      <c r="Q16" s="10">
        <f>IF(AND(Q$4=$D16,$G16&lt;&gt;""),"◆","")</f>
        <v/>
      </c>
      <c r="R16" s="10">
        <f>IF(AND(R$4=$D16,$G16&lt;&gt;""),"◆","")</f>
        <v/>
      </c>
      <c r="S16" s="10">
        <f>IF(AND(S$4=$D16,$G16&lt;&gt;""),"◆","")</f>
        <v/>
      </c>
      <c r="T16" s="10">
        <f>IF(AND(T$4=$D16,$G16&lt;&gt;""),"◆","")</f>
        <v/>
      </c>
      <c r="U16" s="10">
        <f>IF(AND(U$4=$D16,$G16&lt;&gt;""),"◆","")</f>
        <v/>
      </c>
    </row>
    <row r="18">
      <c r="B18" s="12" t="inlineStr">
        <is>
          <t>Legend</t>
        </is>
      </c>
    </row>
    <row r="19">
      <c r="H19" s="13" t="inlineStr"/>
      <c r="I19" s="14" t="inlineStr">
        <is>
          <t>Project work</t>
        </is>
      </c>
    </row>
    <row r="20">
      <c r="H20" s="15" t="inlineStr"/>
      <c r="I20" s="14" t="inlineStr">
        <is>
          <t>Exams / holiday (no planned work)</t>
        </is>
      </c>
    </row>
    <row r="21">
      <c r="H21" s="16" t="inlineStr">
        <is>
          <t>◆</t>
        </is>
      </c>
      <c r="I21" s="14" t="inlineStr">
        <is>
          <t>Milestone, due at the end of that week</t>
        </is>
      </c>
    </row>
    <row r="22">
      <c r="H22" s="17" t="inlineStr">
        <is>
          <t>123</t>
        </is>
      </c>
      <c r="I22" s="14" t="inlineStr">
        <is>
          <t>Blue text = input you can edit (start week, end week, type)</t>
        </is>
      </c>
    </row>
  </sheetData>
  <conditionalFormatting sqref="H5:U16">
    <cfRule type="expression" priority="1" dxfId="0" stopIfTrue="1">
      <formula>AND(H$4&gt;=$C5,H$4&lt;=$D5,$F5="Work")</formula>
    </cfRule>
    <cfRule type="expression" priority="2" dxfId="1" stopIfTrue="1">
      <formula>AND(H$4&gt;=$C5,H$4&lt;=$D5,$F5="Break")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2026-09-11T17:43:37Z</dcterms:created>
  <dcterms:modified xmlns:dcterms="http://purl.org/dc/terms/" xmlns:xsi="http://www.w3.org/2001/XMLSchema-instance" xsi:type="dcterms:W3CDTF">2026-09-11T17:43:37Z</dcterms:modified>
</cp:coreProperties>
</file>